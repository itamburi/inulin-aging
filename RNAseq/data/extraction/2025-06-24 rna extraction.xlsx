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/Desktop/Randa Inulin RNA Extraction/"/>
    </mc:Choice>
  </mc:AlternateContent>
  <xr:revisionPtr revIDLastSave="0" documentId="13_ncr:1_{88CB66F0-C211-6643-A1D4-B264AEBB4B44}" xr6:coauthVersionLast="47" xr6:coauthVersionMax="47" xr10:uidLastSave="{00000000-0000-0000-0000-000000000000}"/>
  <bookViews>
    <workbookView xWindow="0" yWindow="500" windowWidth="31740" windowHeight="19940" xr2:uid="{00000000-000D-0000-FFFF-FFFF00000000}"/>
  </bookViews>
  <sheets>
    <sheet name="RNA Yeilds and iScript cDNA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J33" i="2"/>
  <c r="K22" i="2"/>
  <c r="B15" i="2"/>
  <c r="B17" i="2" s="1"/>
  <c r="J12" i="2"/>
  <c r="P25" i="2" l="1"/>
  <c r="K25" i="2"/>
  <c r="K26" i="2"/>
  <c r="K27" i="2"/>
  <c r="K45" i="2" l="1"/>
  <c r="K31" i="2"/>
  <c r="K28" i="2"/>
  <c r="K37" i="2"/>
  <c r="K44" i="2"/>
  <c r="K30" i="2"/>
  <c r="K36" i="2"/>
  <c r="K43" i="2"/>
  <c r="K35" i="2"/>
  <c r="K42" i="2"/>
  <c r="K34" i="2"/>
  <c r="K41" i="2"/>
  <c r="K24" i="2"/>
  <c r="K33" i="2"/>
  <c r="K40" i="2"/>
  <c r="K39" i="2"/>
  <c r="K29" i="2"/>
  <c r="K38" i="2"/>
  <c r="K32" i="2"/>
  <c r="K23" i="2"/>
</calcChain>
</file>

<file path=xl/sharedStrings.xml><?xml version="1.0" encoding="utf-8"?>
<sst xmlns="http://schemas.openxmlformats.org/spreadsheetml/2006/main" count="388" uniqueCount="172">
  <si>
    <t>Sample ID</t>
  </si>
  <si>
    <t>Nucleic Acid</t>
  </si>
  <si>
    <t>Unit</t>
  </si>
  <si>
    <t>uL RNA to add</t>
  </si>
  <si>
    <t>Water to Add</t>
  </si>
  <si>
    <t>Additional iScript master mix</t>
  </si>
  <si>
    <t>Skin11</t>
  </si>
  <si>
    <t>ng/µl</t>
  </si>
  <si>
    <t>Skin12</t>
  </si>
  <si>
    <t>Skin13</t>
  </si>
  <si>
    <t>Skin14</t>
  </si>
  <si>
    <t>Skin15</t>
  </si>
  <si>
    <t>Skin16</t>
  </si>
  <si>
    <t>Skin17</t>
  </si>
  <si>
    <t>Skin18</t>
  </si>
  <si>
    <t>Skin19</t>
  </si>
  <si>
    <t>Skin20</t>
  </si>
  <si>
    <t>SI11</t>
  </si>
  <si>
    <t>SI12</t>
  </si>
  <si>
    <t>SI13</t>
  </si>
  <si>
    <t>SI14</t>
  </si>
  <si>
    <t>SI15</t>
  </si>
  <si>
    <t>SI16</t>
  </si>
  <si>
    <t>SI17</t>
  </si>
  <si>
    <t>SI18</t>
  </si>
  <si>
    <t>SI19</t>
  </si>
  <si>
    <t>SI20</t>
  </si>
  <si>
    <t>Spl11</t>
  </si>
  <si>
    <t>Spl12</t>
  </si>
  <si>
    <t>Spl13</t>
  </si>
  <si>
    <t>Spl14</t>
  </si>
  <si>
    <t>Spl15</t>
  </si>
  <si>
    <t>Spl16</t>
  </si>
  <si>
    <t>Lung11</t>
  </si>
  <si>
    <t>Lung12</t>
  </si>
  <si>
    <t>Lung13</t>
  </si>
  <si>
    <t>Lung14</t>
  </si>
  <si>
    <t>Lung15</t>
  </si>
  <si>
    <t>Lung16</t>
  </si>
  <si>
    <t>Lung17</t>
  </si>
  <si>
    <t>Lung18</t>
  </si>
  <si>
    <t>Lung19</t>
  </si>
  <si>
    <t>Lung20</t>
  </si>
  <si>
    <t>Muscle11</t>
  </si>
  <si>
    <t>Muscle12</t>
  </si>
  <si>
    <t>Muscle13</t>
  </si>
  <si>
    <t>Muscle14</t>
  </si>
  <si>
    <t>Muscle15</t>
  </si>
  <si>
    <t>Muscle16</t>
  </si>
  <si>
    <t>Muscle17</t>
  </si>
  <si>
    <t>Muscle18</t>
  </si>
  <si>
    <t>Muscle19</t>
  </si>
  <si>
    <t>Muscle20</t>
  </si>
  <si>
    <t>#</t>
  </si>
  <si>
    <t>User name</t>
  </si>
  <si>
    <t>Date and Time</t>
  </si>
  <si>
    <t>A260 (Abs)</t>
  </si>
  <si>
    <t>A280 (Abs)</t>
  </si>
  <si>
    <t>260/280</t>
  </si>
  <si>
    <t>260/230</t>
  </si>
  <si>
    <t>Sample Type</t>
  </si>
  <si>
    <t>Factor</t>
  </si>
  <si>
    <t>Lee-Jang lab</t>
  </si>
  <si>
    <t>2/16/2024 1:46:49 PM</t>
  </si>
  <si>
    <t>DNA</t>
  </si>
  <si>
    <t>2/16/2024 1:48:30 PM</t>
  </si>
  <si>
    <t>2/16/2024 1:49:03 PM</t>
  </si>
  <si>
    <t>2/16/2024 1:49:38 PM</t>
  </si>
  <si>
    <t>RNA</t>
  </si>
  <si>
    <t>2/16/2024 1:50:15 PM</t>
  </si>
  <si>
    <t>2/16/2024 1:50:49 PM</t>
  </si>
  <si>
    <t>2/16/2024 1:51:19 PM</t>
  </si>
  <si>
    <t>2/16/2024 1:51:50 PM</t>
  </si>
  <si>
    <t>2/16/2024 1:52:27 PM</t>
  </si>
  <si>
    <t>2/16/2024 1:53:01 PM</t>
  </si>
  <si>
    <t>2/16/2024 1:53:39 PM</t>
  </si>
  <si>
    <t>2/16/2024 1:54:34 PM</t>
  </si>
  <si>
    <t>2/16/2024 1:55:09 PM</t>
  </si>
  <si>
    <t>2/16/2024 1:55:39 PM</t>
  </si>
  <si>
    <t>2/16/2024 1:56:12 PM</t>
  </si>
  <si>
    <t>2/16/2024 1:56:46 PM</t>
  </si>
  <si>
    <t>2/16/2024 1:57:27 PM</t>
  </si>
  <si>
    <t>2/16/2024 1:58:00 PM</t>
  </si>
  <si>
    <t>2/16/2024 1:58:28 PM</t>
  </si>
  <si>
    <t>2/16/2024 1:58:59 PM</t>
  </si>
  <si>
    <t>2/16/2024 1:59:37 PM</t>
  </si>
  <si>
    <t>2/16/2024 2:00:07 PM</t>
  </si>
  <si>
    <t>2/16/2024 2:00:37 PM</t>
  </si>
  <si>
    <t>2/16/2024 2:01:30 PM</t>
  </si>
  <si>
    <t>2/16/2024 2:02:36 PM</t>
  </si>
  <si>
    <t>2/16/2024 2:03:09 PM</t>
  </si>
  <si>
    <t>2/16/2024 2:03:37 PM</t>
  </si>
  <si>
    <t>2/16/2024 2:04:10 PM</t>
  </si>
  <si>
    <t>2/16/2024 2:04:58 PM</t>
  </si>
  <si>
    <t>2/16/2024 2:05:26 PM</t>
  </si>
  <si>
    <t>2/16/2024 2:05:57 PM</t>
  </si>
  <si>
    <t>2/16/2024 2:06:24 PM</t>
  </si>
  <si>
    <t>2/16/2024 2:06:55 PM</t>
  </si>
  <si>
    <t>2/16/2024 2:07:28 PM</t>
  </si>
  <si>
    <t>2/16/2024 2:07:58 PM</t>
  </si>
  <si>
    <t>2/16/2024 2:08:31 PM</t>
  </si>
  <si>
    <t>2/16/2024 2:09:05 PM</t>
  </si>
  <si>
    <t>2/16/2024 2:09:49 PM</t>
  </si>
  <si>
    <t>2/16/2024 2:10:47 PM</t>
  </si>
  <si>
    <t>2/16/2024 2:11:16 PM</t>
  </si>
  <si>
    <t>2/16/2024 2:11:48 PM</t>
  </si>
  <si>
    <t>2/16/2024 2:12:15 PM</t>
  </si>
  <si>
    <t>2/16/2024 2:12:45 PM</t>
  </si>
  <si>
    <t>2/16/2024 2:13:11 PM</t>
  </si>
  <si>
    <t>2/16/2024 2:13:47 PM</t>
  </si>
  <si>
    <t>2/16/2024 2:14:20 PM</t>
  </si>
  <si>
    <t>2/16/2024 2:14:49 PM</t>
  </si>
  <si>
    <t>2/16/2024 2:15:24 PM</t>
  </si>
  <si>
    <t>Cohort</t>
  </si>
  <si>
    <t>Diet</t>
  </si>
  <si>
    <t>CD</t>
  </si>
  <si>
    <t>ID</t>
  </si>
  <si>
    <t>Cohort1</t>
  </si>
  <si>
    <t>1M_1</t>
  </si>
  <si>
    <t>1M_4</t>
  </si>
  <si>
    <t>1M_2</t>
  </si>
  <si>
    <t>1M_10</t>
  </si>
  <si>
    <t>1M_11</t>
  </si>
  <si>
    <t>1M_5</t>
  </si>
  <si>
    <t>1M_6</t>
  </si>
  <si>
    <t>1M_7</t>
  </si>
  <si>
    <t>1M_9</t>
  </si>
  <si>
    <t>2M_16</t>
  </si>
  <si>
    <t>2M_17</t>
  </si>
  <si>
    <t>2M_20</t>
  </si>
  <si>
    <t>2M_22</t>
  </si>
  <si>
    <t>2M_23</t>
  </si>
  <si>
    <t>2M_26</t>
  </si>
  <si>
    <t>2M_31</t>
  </si>
  <si>
    <t>2M_33</t>
  </si>
  <si>
    <t>Cohort2</t>
  </si>
  <si>
    <t>mg.tissue</t>
  </si>
  <si>
    <t>Cohort4</t>
  </si>
  <si>
    <t>4M_2</t>
  </si>
  <si>
    <t>4M_3</t>
  </si>
  <si>
    <t>4M_4</t>
  </si>
  <si>
    <t>Cohort5</t>
  </si>
  <si>
    <t>5M_1</t>
  </si>
  <si>
    <t>5M_2</t>
  </si>
  <si>
    <t>5M_3</t>
  </si>
  <si>
    <t>5M_4</t>
  </si>
  <si>
    <t>NA</t>
  </si>
  <si>
    <t>For cDNA synthesis with iScript kit:</t>
  </si>
  <si>
    <t>4uL</t>
  </si>
  <si>
    <t xml:space="preserve">5x iScript Reaction </t>
  </si>
  <si>
    <t>1uL</t>
  </si>
  <si>
    <t>iScript Reverse Transcriptase</t>
  </si>
  <si>
    <t>variable</t>
  </si>
  <si>
    <t>Nuclease-free water</t>
  </si>
  <si>
    <t>RNA template (100fg-1 ug total RNA)</t>
  </si>
  <si>
    <t>We aim for 1 ug RNA to produce 1 ug cDNA</t>
  </si>
  <si>
    <t>20uL</t>
  </si>
  <si>
    <t>total volume</t>
  </si>
  <si>
    <t>-&gt;</t>
  </si>
  <si>
    <t>uL 5x iscript</t>
  </si>
  <si>
    <t>Total iScript Master Mix required</t>
  </si>
  <si>
    <t>uL RT</t>
  </si>
  <si>
    <t>samples</t>
  </si>
  <si>
    <t>uL per well</t>
  </si>
  <si>
    <t>uL base</t>
  </si>
  <si>
    <t>uL extra for low yeild samples</t>
  </si>
  <si>
    <t>uL total (*1.2 for pipette error)</t>
  </si>
  <si>
    <t>We dilute cDNA 1:10 to achieve final concentration for qPCR</t>
  </si>
  <si>
    <t>96 uL iscript</t>
  </si>
  <si>
    <t>24 uL RT</t>
  </si>
  <si>
    <t>Performed RNA extraction using trizol/chloroform with phasemaker tubes, followed by purification from invitrogen RNA purelink kit. Eluted all RNAs with 30uL nucl free H2O</t>
  </si>
  <si>
    <t>Tube Strip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</si>
</sst>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0"/>
      <name val="Arial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33" borderId="10" xfId="0" applyFont="1" applyFill="1" applyBorder="1"/>
    <xf numFmtId="0" fontId="19" fillId="33" borderId="10" xfId="0" applyFont="1" applyFill="1" applyBorder="1"/>
    <xf numFmtId="0" fontId="19" fillId="33" borderId="11" xfId="0" applyFont="1" applyFill="1" applyBorder="1"/>
    <xf numFmtId="0" fontId="20" fillId="0" borderId="0" xfId="0" applyFont="1"/>
    <xf numFmtId="2" fontId="20" fillId="0" borderId="0" xfId="0" applyNumberFormat="1" applyFont="1"/>
    <xf numFmtId="164" fontId="20" fillId="0" borderId="0" xfId="0" applyNumberFormat="1" applyFont="1"/>
    <xf numFmtId="164" fontId="20" fillId="34" borderId="0" xfId="0" applyNumberFormat="1" applyFont="1" applyFill="1"/>
    <xf numFmtId="0" fontId="16" fillId="0" borderId="0" xfId="0" applyFont="1"/>
    <xf numFmtId="0" fontId="0" fillId="0" borderId="12" xfId="0" applyBorder="1"/>
    <xf numFmtId="0" fontId="0" fillId="0" borderId="0" xfId="0" quotePrefix="1" applyAlignment="1">
      <alignment horizontal="center"/>
    </xf>
    <xf numFmtId="0" fontId="0" fillId="0" borderId="0" xfId="0" quotePrefix="1"/>
    <xf numFmtId="0" fontId="0" fillId="35" borderId="0" xfId="0" applyFill="1"/>
    <xf numFmtId="0" fontId="19" fillId="35" borderId="11" xfId="0" applyFont="1" applyFill="1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DCDCFF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1:K45" totalsRowShown="0" headerRowDxfId="10">
  <autoFilter ref="B21:K45" xr:uid="{00000000-0009-0000-0100-000001000000}"/>
  <sortState xmlns:xlrd2="http://schemas.microsoft.com/office/spreadsheetml/2017/richdata2" ref="B22:K45">
    <sortCondition ref="E21:E45"/>
  </sortState>
  <tableColumns count="10">
    <tableColumn id="9" xr3:uid="{62E28012-F878-0144-852F-966A2B9F45F4}" name="Cohort" dataDxfId="8"/>
    <tableColumn id="8" xr3:uid="{7EBB11A1-5515-D147-A644-7B677D8D8837}" name="Diet" dataDxfId="9"/>
    <tableColumn id="11" xr3:uid="{1C7612AA-1A39-024A-98EE-576244B6D108}" name="Tube Strip ID" dataDxfId="0"/>
    <tableColumn id="2" xr3:uid="{00000000-0010-0000-0000-000002000000}" name="Sample ID" dataDxfId="7"/>
    <tableColumn id="10" xr3:uid="{25A89638-43BE-184D-9D6C-CE463DABA854}" name="mg.tissue" dataDxfId="6"/>
    <tableColumn id="3" xr3:uid="{00000000-0010-0000-0000-000003000000}" name="Nucleic Acid" dataDxfId="5"/>
    <tableColumn id="4" xr3:uid="{00000000-0010-0000-0000-000004000000}" name="Unit" dataDxfId="4"/>
    <tableColumn id="5" xr3:uid="{00000000-0010-0000-0000-000005000000}" name="uL RNA to add" dataDxfId="3">
      <calculatedColumnFormula>1000/G22</calculatedColumnFormula>
    </tableColumn>
    <tableColumn id="6" xr3:uid="{00000000-0010-0000-0000-000006000000}" name="Water to Add" dataDxfId="2">
      <calculatedColumnFormula>15-I22</calculatedColumnFormula>
    </tableColumn>
    <tableColumn id="7" xr3:uid="{00000000-0010-0000-0000-000007000000}" name="Additional iScript master mix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P45"/>
  <sheetViews>
    <sheetView tabSelected="1" workbookViewId="0">
      <selection activeCell="G17" sqref="G17"/>
    </sheetView>
  </sheetViews>
  <sheetFormatPr baseColWidth="10" defaultColWidth="10.83203125" defaultRowHeight="13" x14ac:dyDescent="0.15"/>
  <cols>
    <col min="2" max="8" width="20" customWidth="1"/>
    <col min="9" max="9" width="17.33203125" bestFit="1" customWidth="1"/>
    <col min="10" max="10" width="16" bestFit="1" customWidth="1"/>
    <col min="11" max="11" width="31" customWidth="1"/>
  </cols>
  <sheetData>
    <row r="3" spans="2:11" x14ac:dyDescent="0.15">
      <c r="B3" t="s">
        <v>170</v>
      </c>
    </row>
    <row r="6" spans="2:11" ht="16" x14ac:dyDescent="0.2">
      <c r="B6" s="8" t="s">
        <v>147</v>
      </c>
      <c r="C6" s="8"/>
      <c r="D6" s="8"/>
      <c r="E6" s="8"/>
      <c r="F6" s="8"/>
    </row>
    <row r="7" spans="2:11" x14ac:dyDescent="0.15">
      <c r="B7" t="s">
        <v>148</v>
      </c>
      <c r="C7" t="s">
        <v>149</v>
      </c>
    </row>
    <row r="8" spans="2:11" x14ac:dyDescent="0.15">
      <c r="B8" t="s">
        <v>150</v>
      </c>
      <c r="C8" t="s">
        <v>151</v>
      </c>
    </row>
    <row r="9" spans="2:11" x14ac:dyDescent="0.15">
      <c r="B9" t="s">
        <v>152</v>
      </c>
      <c r="C9" t="s">
        <v>153</v>
      </c>
    </row>
    <row r="10" spans="2:11" ht="15" customHeight="1" x14ac:dyDescent="0.15">
      <c r="B10" s="9" t="s">
        <v>152</v>
      </c>
      <c r="C10" s="9" t="s">
        <v>154</v>
      </c>
      <c r="D10" s="14"/>
      <c r="E10" s="10"/>
      <c r="F10" t="s">
        <v>155</v>
      </c>
    </row>
    <row r="11" spans="2:11" ht="15" customHeight="1" x14ac:dyDescent="0.15">
      <c r="B11" t="s">
        <v>156</v>
      </c>
      <c r="C11" t="s">
        <v>157</v>
      </c>
      <c r="E11" s="11" t="s">
        <v>158</v>
      </c>
      <c r="F11" t="s">
        <v>167</v>
      </c>
    </row>
    <row r="12" spans="2:11" ht="15" customHeight="1" x14ac:dyDescent="0.15">
      <c r="J12">
        <f>100/5*4</f>
        <v>80</v>
      </c>
      <c r="K12" t="s">
        <v>159</v>
      </c>
    </row>
    <row r="13" spans="2:11" ht="15" customHeight="1" x14ac:dyDescent="0.2">
      <c r="B13" s="8" t="s">
        <v>160</v>
      </c>
      <c r="C13" s="8"/>
      <c r="D13" s="8"/>
      <c r="E13" s="8"/>
      <c r="F13" s="8"/>
      <c r="J13" s="9">
        <v>20</v>
      </c>
      <c r="K13" s="9" t="s">
        <v>161</v>
      </c>
    </row>
    <row r="14" spans="2:11" ht="15" customHeight="1" x14ac:dyDescent="0.15">
      <c r="B14">
        <v>20</v>
      </c>
      <c r="C14" t="s">
        <v>162</v>
      </c>
      <c r="J14">
        <v>5</v>
      </c>
      <c r="K14" t="s">
        <v>163</v>
      </c>
    </row>
    <row r="15" spans="2:11" ht="15" customHeight="1" x14ac:dyDescent="0.15">
      <c r="B15">
        <f>B14*5</f>
        <v>100</v>
      </c>
      <c r="C15" t="s">
        <v>164</v>
      </c>
    </row>
    <row r="16" spans="2:11" ht="15" customHeight="1" x14ac:dyDescent="0.15">
      <c r="B16">
        <v>0</v>
      </c>
      <c r="C16" t="s">
        <v>165</v>
      </c>
      <c r="G16" t="s">
        <v>168</v>
      </c>
    </row>
    <row r="17" spans="2:16" ht="15" customHeight="1" x14ac:dyDescent="0.15">
      <c r="B17" s="12">
        <f>SUM(B15:B16)*1.2</f>
        <v>120</v>
      </c>
      <c r="C17" s="12" t="s">
        <v>166</v>
      </c>
      <c r="D17" s="12"/>
      <c r="E17" s="12"/>
      <c r="F17" s="12"/>
      <c r="G17" t="s">
        <v>169</v>
      </c>
    </row>
    <row r="18" spans="2:16" ht="15" customHeight="1" x14ac:dyDescent="0.15"/>
    <row r="19" spans="2:16" ht="15" customHeight="1" x14ac:dyDescent="0.15"/>
    <row r="20" spans="2:16" ht="15" customHeight="1" x14ac:dyDescent="0.15"/>
    <row r="21" spans="2:16" ht="16" x14ac:dyDescent="0.2">
      <c r="B21" s="2" t="s">
        <v>113</v>
      </c>
      <c r="C21" s="2" t="s">
        <v>114</v>
      </c>
      <c r="D21" s="2" t="s">
        <v>171</v>
      </c>
      <c r="E21" s="2" t="s">
        <v>0</v>
      </c>
      <c r="F21" s="2" t="s">
        <v>136</v>
      </c>
      <c r="G21" s="2" t="s">
        <v>1</v>
      </c>
      <c r="H21" s="2" t="s">
        <v>2</v>
      </c>
      <c r="I21" s="13" t="s">
        <v>3</v>
      </c>
      <c r="J21" s="13" t="s">
        <v>4</v>
      </c>
      <c r="K21" s="3" t="s">
        <v>5</v>
      </c>
    </row>
    <row r="22" spans="2:16" ht="16" x14ac:dyDescent="0.2">
      <c r="B22" s="4" t="s">
        <v>117</v>
      </c>
      <c r="C22" s="4" t="s">
        <v>115</v>
      </c>
      <c r="D22" s="4">
        <v>1</v>
      </c>
      <c r="E22" s="4" t="s">
        <v>118</v>
      </c>
      <c r="F22" s="4">
        <v>21</v>
      </c>
      <c r="G22" s="4">
        <v>174.7</v>
      </c>
      <c r="H22" s="4" t="s">
        <v>7</v>
      </c>
      <c r="I22" s="5">
        <f>1000/G22</f>
        <v>5.7240984544934177</v>
      </c>
      <c r="J22" s="6">
        <f>15-I22</f>
        <v>9.2759015455065814</v>
      </c>
      <c r="K22" s="7">
        <f>(I22*5/15)-5</f>
        <v>-3.0919671818355274</v>
      </c>
    </row>
    <row r="23" spans="2:16" ht="16" x14ac:dyDescent="0.2">
      <c r="B23" s="4" t="s">
        <v>117</v>
      </c>
      <c r="C23" s="4" t="s">
        <v>115</v>
      </c>
      <c r="D23" s="4">
        <v>2</v>
      </c>
      <c r="E23" s="4" t="s">
        <v>121</v>
      </c>
      <c r="F23" s="4">
        <v>22.8</v>
      </c>
      <c r="G23" s="4">
        <v>131.30000000000001</v>
      </c>
      <c r="H23" s="4" t="s">
        <v>7</v>
      </c>
      <c r="I23" s="5">
        <f>1000/G23</f>
        <v>7.6161462300076153</v>
      </c>
      <c r="J23" s="6">
        <f>15-I23</f>
        <v>7.3838537699923847</v>
      </c>
      <c r="K23" s="7">
        <f>(I23*5/15)-5</f>
        <v>-2.4612845899974616</v>
      </c>
    </row>
    <row r="24" spans="2:16" ht="16" x14ac:dyDescent="0.2">
      <c r="B24" s="4" t="s">
        <v>117</v>
      </c>
      <c r="C24" s="4" t="s">
        <v>115</v>
      </c>
      <c r="D24" s="4">
        <v>3</v>
      </c>
      <c r="E24" s="4" t="s">
        <v>122</v>
      </c>
      <c r="F24" s="4">
        <v>22.5</v>
      </c>
      <c r="G24" s="4">
        <v>115.7</v>
      </c>
      <c r="H24" s="4" t="s">
        <v>7</v>
      </c>
      <c r="I24" s="5">
        <f>1000/G24</f>
        <v>8.6430423509075194</v>
      </c>
      <c r="J24" s="6">
        <f>15-I24</f>
        <v>6.3569576490924806</v>
      </c>
      <c r="K24" s="7">
        <f>(I24*5/15)-5</f>
        <v>-2.1189858830308266</v>
      </c>
    </row>
    <row r="25" spans="2:16" ht="16" x14ac:dyDescent="0.2">
      <c r="B25" s="4" t="s">
        <v>117</v>
      </c>
      <c r="C25" s="4" t="s">
        <v>115</v>
      </c>
      <c r="D25" s="4" t="s">
        <v>146</v>
      </c>
      <c r="E25" s="4" t="s">
        <v>120</v>
      </c>
      <c r="F25" s="4" t="s">
        <v>146</v>
      </c>
      <c r="G25" s="4" t="s">
        <v>146</v>
      </c>
      <c r="H25" s="4" t="s">
        <v>7</v>
      </c>
      <c r="I25" s="5" t="e">
        <f>1000/G25</f>
        <v>#VALUE!</v>
      </c>
      <c r="J25" s="6" t="e">
        <f>15-I25</f>
        <v>#VALUE!</v>
      </c>
      <c r="K25" s="7" t="e">
        <f>(I25*5/15)-5</f>
        <v>#VALUE!</v>
      </c>
      <c r="P25">
        <f>(20*5/15)-5</f>
        <v>1.666666666666667</v>
      </c>
    </row>
    <row r="26" spans="2:16" ht="16" x14ac:dyDescent="0.2">
      <c r="B26" s="4" t="s">
        <v>117</v>
      </c>
      <c r="C26" s="4" t="s">
        <v>115</v>
      </c>
      <c r="D26" s="4">
        <v>4</v>
      </c>
      <c r="E26" s="4" t="s">
        <v>119</v>
      </c>
      <c r="F26" s="4">
        <v>20.3</v>
      </c>
      <c r="G26" s="4">
        <v>131.80000000000001</v>
      </c>
      <c r="H26" s="4" t="s">
        <v>7</v>
      </c>
      <c r="I26" s="5">
        <f>1000/G26</f>
        <v>7.587253414264036</v>
      </c>
      <c r="J26" s="6">
        <f>15-I26</f>
        <v>7.412746585735964</v>
      </c>
      <c r="K26" s="7">
        <f>(I26*5/15)-5</f>
        <v>-2.4709155285786548</v>
      </c>
    </row>
    <row r="27" spans="2:16" ht="16" x14ac:dyDescent="0.2">
      <c r="B27" s="4" t="s">
        <v>117</v>
      </c>
      <c r="C27" s="4" t="s">
        <v>116</v>
      </c>
      <c r="D27" s="4">
        <v>5</v>
      </c>
      <c r="E27" s="4" t="s">
        <v>123</v>
      </c>
      <c r="F27" s="4">
        <v>22.3</v>
      </c>
      <c r="G27" s="4">
        <v>165.5</v>
      </c>
      <c r="H27" s="4" t="s">
        <v>7</v>
      </c>
      <c r="I27" s="5">
        <f>1000/G27</f>
        <v>6.0422960725075532</v>
      </c>
      <c r="J27" s="6">
        <f>15-I27</f>
        <v>8.9577039274924459</v>
      </c>
      <c r="K27" s="7">
        <f>(I27*5/15)-5</f>
        <v>-2.9859013091641491</v>
      </c>
    </row>
    <row r="28" spans="2:16" ht="16" x14ac:dyDescent="0.2">
      <c r="B28" s="4" t="s">
        <v>117</v>
      </c>
      <c r="C28" s="4" t="s">
        <v>116</v>
      </c>
      <c r="D28" s="4">
        <v>6</v>
      </c>
      <c r="E28" s="4" t="s">
        <v>124</v>
      </c>
      <c r="F28" s="4">
        <v>21.4</v>
      </c>
      <c r="G28" s="4">
        <v>91.4</v>
      </c>
      <c r="H28" s="4" t="s">
        <v>7</v>
      </c>
      <c r="I28" s="5">
        <f>1000/G28</f>
        <v>10.940919037199125</v>
      </c>
      <c r="J28" s="6">
        <f>15-I28</f>
        <v>4.0590809628008753</v>
      </c>
      <c r="K28" s="7">
        <f>(I28*5/15)-5</f>
        <v>-1.3530269876002921</v>
      </c>
    </row>
    <row r="29" spans="2:16" ht="16" x14ac:dyDescent="0.2">
      <c r="B29" s="4" t="s">
        <v>117</v>
      </c>
      <c r="C29" s="4" t="s">
        <v>116</v>
      </c>
      <c r="D29" s="4" t="s">
        <v>146</v>
      </c>
      <c r="E29" s="4" t="s">
        <v>125</v>
      </c>
      <c r="F29" s="4" t="s">
        <v>146</v>
      </c>
      <c r="G29" s="4" t="s">
        <v>146</v>
      </c>
      <c r="H29" s="4" t="s">
        <v>7</v>
      </c>
      <c r="I29" s="5" t="e">
        <f>1000/G29</f>
        <v>#VALUE!</v>
      </c>
      <c r="J29" s="6" t="e">
        <f>15-I29</f>
        <v>#VALUE!</v>
      </c>
      <c r="K29" s="7" t="e">
        <f>(I29*5/15)-5</f>
        <v>#VALUE!</v>
      </c>
    </row>
    <row r="30" spans="2:16" ht="16" x14ac:dyDescent="0.2">
      <c r="B30" s="4" t="s">
        <v>117</v>
      </c>
      <c r="C30" s="4" t="s">
        <v>116</v>
      </c>
      <c r="D30" s="4">
        <v>7</v>
      </c>
      <c r="E30" s="4" t="s">
        <v>126</v>
      </c>
      <c r="F30" s="4">
        <v>21.9</v>
      </c>
      <c r="G30" s="4">
        <v>244.6</v>
      </c>
      <c r="H30" s="4" t="s">
        <v>7</v>
      </c>
      <c r="I30" s="5">
        <f>1000/G30</f>
        <v>4.0883074407195421</v>
      </c>
      <c r="J30" s="6">
        <f>15-I30</f>
        <v>10.911692559280457</v>
      </c>
      <c r="K30" s="7">
        <f>(I30*5/15)-5</f>
        <v>-3.6372308530934858</v>
      </c>
    </row>
    <row r="31" spans="2:16" ht="16" x14ac:dyDescent="0.2">
      <c r="B31" s="4" t="s">
        <v>135</v>
      </c>
      <c r="C31" s="4" t="s">
        <v>115</v>
      </c>
      <c r="D31" s="4">
        <v>8</v>
      </c>
      <c r="E31" s="4" t="s">
        <v>127</v>
      </c>
      <c r="F31" s="4">
        <v>21.3</v>
      </c>
      <c r="G31" s="4">
        <v>195.9</v>
      </c>
      <c r="H31" s="4" t="s">
        <v>7</v>
      </c>
      <c r="I31" s="5">
        <f>1000/G31</f>
        <v>5.1046452271567127</v>
      </c>
      <c r="J31" s="6">
        <f>15-I31</f>
        <v>9.8953547728432873</v>
      </c>
      <c r="K31" s="7">
        <f>(I31*5/15)-5</f>
        <v>-3.2984515909477627</v>
      </c>
    </row>
    <row r="32" spans="2:16" ht="16" x14ac:dyDescent="0.2">
      <c r="B32" s="4" t="s">
        <v>135</v>
      </c>
      <c r="C32" s="4" t="s">
        <v>115</v>
      </c>
      <c r="D32" s="4" t="s">
        <v>146</v>
      </c>
      <c r="E32" s="4" t="s">
        <v>128</v>
      </c>
      <c r="F32" s="4" t="s">
        <v>146</v>
      </c>
      <c r="G32" s="4" t="s">
        <v>146</v>
      </c>
      <c r="H32" s="4" t="s">
        <v>7</v>
      </c>
      <c r="I32" s="5" t="e">
        <f>1000/G32</f>
        <v>#VALUE!</v>
      </c>
      <c r="J32" s="6" t="e">
        <f>15-I32</f>
        <v>#VALUE!</v>
      </c>
      <c r="K32" s="7" t="e">
        <f>(I32*5/15)-5</f>
        <v>#VALUE!</v>
      </c>
    </row>
    <row r="33" spans="2:11" ht="16" x14ac:dyDescent="0.2">
      <c r="B33" s="4" t="s">
        <v>135</v>
      </c>
      <c r="C33" s="4" t="s">
        <v>115</v>
      </c>
      <c r="D33" s="4">
        <v>9</v>
      </c>
      <c r="E33" s="4" t="s">
        <v>129</v>
      </c>
      <c r="F33" s="4">
        <v>23</v>
      </c>
      <c r="G33" s="4">
        <v>256</v>
      </c>
      <c r="H33" s="4" t="s">
        <v>7</v>
      </c>
      <c r="I33" s="5">
        <f>1000/G33</f>
        <v>3.90625</v>
      </c>
      <c r="J33" s="6">
        <f>15-I33</f>
        <v>11.09375</v>
      </c>
      <c r="K33" s="7">
        <f>(I33*5/15)-5</f>
        <v>-3.697916666666667</v>
      </c>
    </row>
    <row r="34" spans="2:11" ht="16" x14ac:dyDescent="0.2">
      <c r="B34" s="4" t="s">
        <v>135</v>
      </c>
      <c r="C34" s="4" t="s">
        <v>116</v>
      </c>
      <c r="D34" s="4">
        <v>10</v>
      </c>
      <c r="E34" s="4" t="s">
        <v>130</v>
      </c>
      <c r="F34" s="4">
        <v>21.5</v>
      </c>
      <c r="G34" s="4">
        <v>124.8</v>
      </c>
      <c r="H34" s="4" t="s">
        <v>7</v>
      </c>
      <c r="I34" s="5">
        <f>1000/G34</f>
        <v>8.0128205128205128</v>
      </c>
      <c r="J34" s="6">
        <f>15-I34</f>
        <v>6.9871794871794872</v>
      </c>
      <c r="K34" s="7">
        <f>(I34*5/15)-5</f>
        <v>-2.3290598290598292</v>
      </c>
    </row>
    <row r="35" spans="2:11" ht="16" x14ac:dyDescent="0.2">
      <c r="B35" s="4" t="s">
        <v>135</v>
      </c>
      <c r="C35" s="4" t="s">
        <v>116</v>
      </c>
      <c r="D35" s="4">
        <v>11</v>
      </c>
      <c r="E35" s="4" t="s">
        <v>131</v>
      </c>
      <c r="F35" s="4">
        <v>20.9</v>
      </c>
      <c r="G35" s="4">
        <v>180.8</v>
      </c>
      <c r="H35" s="4" t="s">
        <v>7</v>
      </c>
      <c r="I35" s="5">
        <f>1000/G35</f>
        <v>5.5309734513274336</v>
      </c>
      <c r="J35" s="6">
        <f>15-I35</f>
        <v>9.4690265486725664</v>
      </c>
      <c r="K35" s="7">
        <f>(I35*5/15)-5</f>
        <v>-3.1563421828908558</v>
      </c>
    </row>
    <row r="36" spans="2:11" ht="16" x14ac:dyDescent="0.2">
      <c r="B36" s="4" t="s">
        <v>135</v>
      </c>
      <c r="C36" s="4" t="s">
        <v>116</v>
      </c>
      <c r="D36" s="4">
        <v>12</v>
      </c>
      <c r="E36" s="4" t="s">
        <v>132</v>
      </c>
      <c r="F36" s="4">
        <v>21.7</v>
      </c>
      <c r="G36" s="4">
        <v>201.2</v>
      </c>
      <c r="H36" s="4" t="s">
        <v>7</v>
      </c>
      <c r="I36" s="5">
        <f>1000/G36</f>
        <v>4.9701789264413518</v>
      </c>
      <c r="J36" s="6">
        <f>15-I36</f>
        <v>10.029821073558647</v>
      </c>
      <c r="K36" s="7">
        <f>(I36*5/15)-5</f>
        <v>-3.3432736911862158</v>
      </c>
    </row>
    <row r="37" spans="2:11" ht="16" x14ac:dyDescent="0.2">
      <c r="B37" s="4" t="s">
        <v>135</v>
      </c>
      <c r="C37" s="4" t="s">
        <v>116</v>
      </c>
      <c r="D37" s="4">
        <v>13</v>
      </c>
      <c r="E37" s="4" t="s">
        <v>133</v>
      </c>
      <c r="F37" s="4">
        <v>23</v>
      </c>
      <c r="G37" s="4">
        <v>143.19999999999999</v>
      </c>
      <c r="H37" s="4" t="s">
        <v>7</v>
      </c>
      <c r="I37" s="5">
        <f>1000/G37</f>
        <v>6.9832402234636879</v>
      </c>
      <c r="J37" s="6">
        <f>15-I37</f>
        <v>8.0167597765363112</v>
      </c>
      <c r="K37" s="7">
        <f>(I37*5/15)-5</f>
        <v>-2.6722532588454375</v>
      </c>
    </row>
    <row r="38" spans="2:11" ht="16" x14ac:dyDescent="0.2">
      <c r="B38" s="4" t="s">
        <v>135</v>
      </c>
      <c r="C38" s="4" t="s">
        <v>116</v>
      </c>
      <c r="D38" s="4" t="s">
        <v>146</v>
      </c>
      <c r="E38" s="4" t="s">
        <v>134</v>
      </c>
      <c r="F38" s="4" t="s">
        <v>146</v>
      </c>
      <c r="G38" s="4" t="s">
        <v>146</v>
      </c>
      <c r="H38" s="4" t="s">
        <v>7</v>
      </c>
      <c r="I38" s="5" t="e">
        <f>1000/G38</f>
        <v>#VALUE!</v>
      </c>
      <c r="J38" s="6" t="e">
        <f>15-I38</f>
        <v>#VALUE!</v>
      </c>
      <c r="K38" s="7" t="e">
        <f>(I38*5/15)-5</f>
        <v>#VALUE!</v>
      </c>
    </row>
    <row r="39" spans="2:11" ht="16" x14ac:dyDescent="0.2">
      <c r="B39" s="4" t="s">
        <v>137</v>
      </c>
      <c r="C39" s="4"/>
      <c r="D39" s="4">
        <v>14</v>
      </c>
      <c r="E39" s="4" t="s">
        <v>138</v>
      </c>
      <c r="F39" s="4">
        <v>21.5</v>
      </c>
      <c r="G39" s="4">
        <v>164.4</v>
      </c>
      <c r="H39" s="4" t="s">
        <v>7</v>
      </c>
      <c r="I39" s="5">
        <f>1000/G39</f>
        <v>6.0827250608272507</v>
      </c>
      <c r="J39" s="6">
        <f>15-I39</f>
        <v>8.9172749391727493</v>
      </c>
      <c r="K39" s="7">
        <f>(I39*5/15)-5</f>
        <v>-2.9724249797242499</v>
      </c>
    </row>
    <row r="40" spans="2:11" ht="16" x14ac:dyDescent="0.2">
      <c r="B40" s="4" t="s">
        <v>137</v>
      </c>
      <c r="C40" s="4"/>
      <c r="D40" s="4">
        <v>15</v>
      </c>
      <c r="E40" s="4" t="s">
        <v>139</v>
      </c>
      <c r="F40" s="4"/>
      <c r="G40" s="4">
        <v>98.9</v>
      </c>
      <c r="H40" s="4" t="s">
        <v>7</v>
      </c>
      <c r="I40" s="5">
        <f>1000/G40</f>
        <v>10.111223458038422</v>
      </c>
      <c r="J40" s="6">
        <f>15-I40</f>
        <v>4.8887765419615778</v>
      </c>
      <c r="K40" s="7">
        <f>(I40*5/15)-5</f>
        <v>-1.6295921806538591</v>
      </c>
    </row>
    <row r="41" spans="2:11" ht="16" x14ac:dyDescent="0.2">
      <c r="B41" s="4" t="s">
        <v>137</v>
      </c>
      <c r="C41" s="4"/>
      <c r="D41" s="4">
        <v>16</v>
      </c>
      <c r="E41" s="4" t="s">
        <v>140</v>
      </c>
      <c r="F41" s="4"/>
      <c r="G41" s="4">
        <v>159.9</v>
      </c>
      <c r="H41" s="4" t="s">
        <v>7</v>
      </c>
      <c r="I41" s="5">
        <f>1000/G41</f>
        <v>6.2539086929330834</v>
      </c>
      <c r="J41" s="6">
        <f>15-I41</f>
        <v>8.7460913070669157</v>
      </c>
      <c r="K41" s="7">
        <f>(I41*5/15)-5</f>
        <v>-2.9153637690223055</v>
      </c>
    </row>
    <row r="42" spans="2:11" ht="16" x14ac:dyDescent="0.2">
      <c r="B42" s="4" t="s">
        <v>141</v>
      </c>
      <c r="C42" s="4"/>
      <c r="D42" s="4">
        <v>17</v>
      </c>
      <c r="E42" s="4" t="s">
        <v>142</v>
      </c>
      <c r="F42" s="4"/>
      <c r="G42" s="4">
        <v>290.10000000000002</v>
      </c>
      <c r="H42" s="4" t="s">
        <v>7</v>
      </c>
      <c r="I42" s="5">
        <f>1000/G42</f>
        <v>3.4470872113064459</v>
      </c>
      <c r="J42" s="6">
        <f>15-I42</f>
        <v>11.552912788693554</v>
      </c>
      <c r="K42" s="7">
        <f>(I42*5/15)-5</f>
        <v>-3.850970929564518</v>
      </c>
    </row>
    <row r="43" spans="2:11" ht="16" x14ac:dyDescent="0.2">
      <c r="B43" s="4" t="s">
        <v>141</v>
      </c>
      <c r="C43" s="4"/>
      <c r="D43" s="4">
        <v>18</v>
      </c>
      <c r="E43" s="4" t="s">
        <v>143</v>
      </c>
      <c r="F43" s="4"/>
      <c r="G43" s="4">
        <v>292.7</v>
      </c>
      <c r="H43" s="4" t="s">
        <v>7</v>
      </c>
      <c r="I43" s="5">
        <f>1000/G43</f>
        <v>3.4164673727365904</v>
      </c>
      <c r="J43" s="6">
        <f>15-I43</f>
        <v>11.583532627263409</v>
      </c>
      <c r="K43" s="7">
        <f>(I43*5/15)-5</f>
        <v>-3.8611775424211365</v>
      </c>
    </row>
    <row r="44" spans="2:11" ht="16" x14ac:dyDescent="0.2">
      <c r="B44" s="4" t="s">
        <v>141</v>
      </c>
      <c r="C44" s="4"/>
      <c r="D44" s="4">
        <v>19</v>
      </c>
      <c r="E44" s="4" t="s">
        <v>144</v>
      </c>
      <c r="F44" s="4"/>
      <c r="G44" s="4">
        <v>181.7</v>
      </c>
      <c r="H44" s="4" t="s">
        <v>7</v>
      </c>
      <c r="I44" s="5">
        <f>1000/G44</f>
        <v>5.5035773252614204</v>
      </c>
      <c r="J44" s="6">
        <f>15-I44</f>
        <v>9.4964226747385787</v>
      </c>
      <c r="K44" s="7">
        <f>(I44*5/15)-5</f>
        <v>-3.1654742249128596</v>
      </c>
    </row>
    <row r="45" spans="2:11" ht="16" x14ac:dyDescent="0.2">
      <c r="B45" s="4" t="s">
        <v>141</v>
      </c>
      <c r="C45" s="4"/>
      <c r="D45" s="4">
        <v>20</v>
      </c>
      <c r="E45" s="4" t="s">
        <v>145</v>
      </c>
      <c r="F45" s="4"/>
      <c r="G45" s="4">
        <v>154.80000000000001</v>
      </c>
      <c r="H45" s="4" t="s">
        <v>7</v>
      </c>
      <c r="I45" s="5">
        <f>1000/G45</f>
        <v>6.459948320413436</v>
      </c>
      <c r="J45" s="6">
        <f>15-I45</f>
        <v>8.5400516795865649</v>
      </c>
      <c r="K45" s="7">
        <f>(I45*5/15)-5</f>
        <v>-2.8466838931955212</v>
      </c>
    </row>
  </sheetData>
  <conditionalFormatting sqref="K21 J21:J45">
    <cfRule type="cellIs" dxfId="1" priority="1" operator="lessThan">
      <formula>0</formula>
    </cfRule>
  </conditionalFormatting>
  <pageMargins left="0.75" right="0.75" top="1" bottom="1" header="0.5" footer="0.5"/>
  <pageSetup scale="42" orientation="landscape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workbookViewId="0"/>
  </sheetViews>
  <sheetFormatPr baseColWidth="10" defaultColWidth="10.83203125" defaultRowHeight="13" x14ac:dyDescent="0.15"/>
  <cols>
    <col min="1" max="12" width="20" customWidth="1"/>
  </cols>
  <sheetData>
    <row r="1" spans="1:12" ht="13" customHeight="1" x14ac:dyDescent="0.15">
      <c r="A1" s="1" t="s">
        <v>53</v>
      </c>
      <c r="B1" s="1" t="s">
        <v>0</v>
      </c>
      <c r="C1" s="1" t="s">
        <v>54</v>
      </c>
      <c r="D1" s="1" t="s">
        <v>55</v>
      </c>
      <c r="E1" s="1" t="s">
        <v>1</v>
      </c>
      <c r="F1" s="1" t="s">
        <v>2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</row>
    <row r="2" spans="1:12" ht="13" customHeight="1" x14ac:dyDescent="0.15">
      <c r="A2">
        <v>1</v>
      </c>
      <c r="B2" t="s">
        <v>6</v>
      </c>
      <c r="C2" t="s">
        <v>62</v>
      </c>
      <c r="D2" t="s">
        <v>63</v>
      </c>
      <c r="E2">
        <v>107.7</v>
      </c>
      <c r="F2" t="s">
        <v>7</v>
      </c>
      <c r="G2">
        <v>2.1539999999999999</v>
      </c>
      <c r="H2">
        <v>1.361</v>
      </c>
      <c r="I2">
        <v>1.58</v>
      </c>
      <c r="J2">
        <v>1.05</v>
      </c>
      <c r="K2" t="s">
        <v>64</v>
      </c>
      <c r="L2">
        <v>50</v>
      </c>
    </row>
    <row r="3" spans="1:12" ht="13" customHeight="1" x14ac:dyDescent="0.15">
      <c r="A3">
        <v>2</v>
      </c>
      <c r="B3" t="s">
        <v>8</v>
      </c>
      <c r="C3" t="s">
        <v>62</v>
      </c>
      <c r="D3" t="s">
        <v>65</v>
      </c>
      <c r="E3">
        <v>66.5</v>
      </c>
      <c r="F3" t="s">
        <v>7</v>
      </c>
      <c r="G3">
        <v>1.331</v>
      </c>
      <c r="H3">
        <v>0.89200000000000002</v>
      </c>
      <c r="I3">
        <v>1.49</v>
      </c>
      <c r="J3">
        <v>0.9</v>
      </c>
      <c r="K3" t="s">
        <v>64</v>
      </c>
      <c r="L3">
        <v>50</v>
      </c>
    </row>
    <row r="4" spans="1:12" ht="13" customHeight="1" x14ac:dyDescent="0.15">
      <c r="A4">
        <v>3</v>
      </c>
      <c r="B4" t="s">
        <v>9</v>
      </c>
      <c r="C4" t="s">
        <v>62</v>
      </c>
      <c r="D4" t="s">
        <v>66</v>
      </c>
      <c r="E4">
        <v>53.3</v>
      </c>
      <c r="F4" t="s">
        <v>7</v>
      </c>
      <c r="G4">
        <v>1.0649999999999999</v>
      </c>
      <c r="H4">
        <v>0.68200000000000005</v>
      </c>
      <c r="I4">
        <v>1.56</v>
      </c>
      <c r="J4">
        <v>1.89</v>
      </c>
      <c r="K4" t="s">
        <v>64</v>
      </c>
      <c r="L4">
        <v>50</v>
      </c>
    </row>
    <row r="5" spans="1:12" ht="13" customHeight="1" x14ac:dyDescent="0.15">
      <c r="A5">
        <v>4</v>
      </c>
      <c r="B5" t="s">
        <v>10</v>
      </c>
      <c r="C5" t="s">
        <v>62</v>
      </c>
      <c r="D5" t="s">
        <v>67</v>
      </c>
      <c r="E5">
        <v>43.7</v>
      </c>
      <c r="F5" t="s">
        <v>7</v>
      </c>
      <c r="G5">
        <v>1.0920000000000001</v>
      </c>
      <c r="H5">
        <v>0.72099999999999997</v>
      </c>
      <c r="I5">
        <v>1.51</v>
      </c>
      <c r="J5">
        <v>0.86</v>
      </c>
      <c r="K5" t="s">
        <v>68</v>
      </c>
      <c r="L5">
        <v>40</v>
      </c>
    </row>
    <row r="6" spans="1:12" ht="13" customHeight="1" x14ac:dyDescent="0.15">
      <c r="A6">
        <v>5</v>
      </c>
      <c r="B6" t="s">
        <v>11</v>
      </c>
      <c r="C6" t="s">
        <v>62</v>
      </c>
      <c r="D6" t="s">
        <v>69</v>
      </c>
      <c r="E6">
        <v>77.400000000000006</v>
      </c>
      <c r="F6" t="s">
        <v>7</v>
      </c>
      <c r="G6">
        <v>1.9339999999999999</v>
      </c>
      <c r="H6">
        <v>1.2509999999999999</v>
      </c>
      <c r="I6">
        <v>1.55</v>
      </c>
      <c r="J6">
        <v>0.83</v>
      </c>
      <c r="K6" t="s">
        <v>68</v>
      </c>
      <c r="L6">
        <v>40</v>
      </c>
    </row>
    <row r="7" spans="1:12" ht="13" customHeight="1" x14ac:dyDescent="0.15">
      <c r="A7">
        <v>6</v>
      </c>
      <c r="B7" t="s">
        <v>12</v>
      </c>
      <c r="C7" t="s">
        <v>62</v>
      </c>
      <c r="D7" t="s">
        <v>70</v>
      </c>
      <c r="E7">
        <v>36.299999999999997</v>
      </c>
      <c r="F7" t="s">
        <v>7</v>
      </c>
      <c r="G7">
        <v>0.90600000000000003</v>
      </c>
      <c r="H7">
        <v>0.57499999999999996</v>
      </c>
      <c r="I7">
        <v>1.58</v>
      </c>
      <c r="J7">
        <v>1.55</v>
      </c>
      <c r="K7" t="s">
        <v>68</v>
      </c>
      <c r="L7">
        <v>40</v>
      </c>
    </row>
    <row r="8" spans="1:12" ht="13" customHeight="1" x14ac:dyDescent="0.15">
      <c r="A8">
        <v>7</v>
      </c>
      <c r="B8" t="s">
        <v>13</v>
      </c>
      <c r="C8" t="s">
        <v>62</v>
      </c>
      <c r="D8" t="s">
        <v>71</v>
      </c>
      <c r="E8">
        <v>85.3</v>
      </c>
      <c r="F8" t="s">
        <v>7</v>
      </c>
      <c r="G8">
        <v>2.133</v>
      </c>
      <c r="H8">
        <v>1.4279999999999999</v>
      </c>
      <c r="I8">
        <v>1.49</v>
      </c>
      <c r="J8">
        <v>0.72</v>
      </c>
      <c r="K8" t="s">
        <v>68</v>
      </c>
      <c r="L8">
        <v>40</v>
      </c>
    </row>
    <row r="9" spans="1:12" ht="13" customHeight="1" x14ac:dyDescent="0.15">
      <c r="A9">
        <v>8</v>
      </c>
      <c r="B9" t="s">
        <v>14</v>
      </c>
      <c r="C9" t="s">
        <v>62</v>
      </c>
      <c r="D9" t="s">
        <v>72</v>
      </c>
      <c r="E9">
        <v>130.80000000000001</v>
      </c>
      <c r="F9" t="s">
        <v>7</v>
      </c>
      <c r="G9">
        <v>3.2690000000000001</v>
      </c>
      <c r="H9">
        <v>1.7210000000000001</v>
      </c>
      <c r="I9">
        <v>1.9</v>
      </c>
      <c r="J9">
        <v>1.85</v>
      </c>
      <c r="K9" t="s">
        <v>68</v>
      </c>
      <c r="L9">
        <v>40</v>
      </c>
    </row>
    <row r="10" spans="1:12" ht="13" customHeight="1" x14ac:dyDescent="0.15">
      <c r="A10">
        <v>9</v>
      </c>
      <c r="B10" t="s">
        <v>15</v>
      </c>
      <c r="C10" t="s">
        <v>62</v>
      </c>
      <c r="D10" t="s">
        <v>73</v>
      </c>
      <c r="E10">
        <v>72.7</v>
      </c>
      <c r="F10" t="s">
        <v>7</v>
      </c>
      <c r="G10">
        <v>1.819</v>
      </c>
      <c r="H10">
        <v>1.22</v>
      </c>
      <c r="I10">
        <v>1.49</v>
      </c>
      <c r="J10">
        <v>0.71</v>
      </c>
      <c r="K10" t="s">
        <v>68</v>
      </c>
      <c r="L10">
        <v>40</v>
      </c>
    </row>
    <row r="11" spans="1:12" ht="13" customHeight="1" x14ac:dyDescent="0.15">
      <c r="A11">
        <v>10</v>
      </c>
      <c r="B11" t="s">
        <v>16</v>
      </c>
      <c r="C11" t="s">
        <v>62</v>
      </c>
      <c r="D11" t="s">
        <v>74</v>
      </c>
      <c r="E11">
        <v>47.5</v>
      </c>
      <c r="F11" t="s">
        <v>7</v>
      </c>
      <c r="G11">
        <v>1.1879999999999999</v>
      </c>
      <c r="H11">
        <v>0.80500000000000005</v>
      </c>
      <c r="I11">
        <v>1.48</v>
      </c>
      <c r="J11">
        <v>0.87</v>
      </c>
      <c r="K11" t="s">
        <v>68</v>
      </c>
      <c r="L11">
        <v>40</v>
      </c>
    </row>
    <row r="12" spans="1:12" ht="13" customHeight="1" x14ac:dyDescent="0.15">
      <c r="A12">
        <v>11</v>
      </c>
      <c r="B12" t="s">
        <v>17</v>
      </c>
      <c r="C12" t="s">
        <v>62</v>
      </c>
      <c r="D12" t="s">
        <v>75</v>
      </c>
      <c r="E12">
        <v>1392.8</v>
      </c>
      <c r="F12" t="s">
        <v>7</v>
      </c>
      <c r="G12">
        <v>34.819000000000003</v>
      </c>
      <c r="H12">
        <v>16.957000000000001</v>
      </c>
      <c r="I12">
        <v>2.0499999999999998</v>
      </c>
      <c r="J12">
        <v>2.1</v>
      </c>
      <c r="K12" t="s">
        <v>68</v>
      </c>
      <c r="L12">
        <v>40</v>
      </c>
    </row>
    <row r="13" spans="1:12" ht="13" customHeight="1" x14ac:dyDescent="0.15">
      <c r="A13">
        <v>12</v>
      </c>
      <c r="B13" t="s">
        <v>18</v>
      </c>
      <c r="C13" t="s">
        <v>62</v>
      </c>
      <c r="D13" t="s">
        <v>76</v>
      </c>
      <c r="E13">
        <v>1200.7</v>
      </c>
      <c r="F13" t="s">
        <v>7</v>
      </c>
      <c r="G13">
        <v>30.016999999999999</v>
      </c>
      <c r="H13">
        <v>14.6</v>
      </c>
      <c r="I13">
        <v>2.06</v>
      </c>
      <c r="J13">
        <v>2.17</v>
      </c>
      <c r="K13" t="s">
        <v>68</v>
      </c>
      <c r="L13">
        <v>40</v>
      </c>
    </row>
    <row r="14" spans="1:12" ht="13" customHeight="1" x14ac:dyDescent="0.15">
      <c r="A14">
        <v>13</v>
      </c>
      <c r="B14" t="s">
        <v>19</v>
      </c>
      <c r="C14" t="s">
        <v>62</v>
      </c>
      <c r="D14" t="s">
        <v>77</v>
      </c>
      <c r="E14">
        <v>1497.5</v>
      </c>
      <c r="F14" t="s">
        <v>7</v>
      </c>
      <c r="G14">
        <v>37.436999999999998</v>
      </c>
      <c r="H14">
        <v>18.234999999999999</v>
      </c>
      <c r="I14">
        <v>2.0499999999999998</v>
      </c>
      <c r="J14">
        <v>2.2000000000000002</v>
      </c>
      <c r="K14" t="s">
        <v>68</v>
      </c>
      <c r="L14">
        <v>40</v>
      </c>
    </row>
    <row r="15" spans="1:12" ht="13" customHeight="1" x14ac:dyDescent="0.15">
      <c r="A15">
        <v>14</v>
      </c>
      <c r="B15" t="s">
        <v>20</v>
      </c>
      <c r="C15" t="s">
        <v>62</v>
      </c>
      <c r="D15" t="s">
        <v>78</v>
      </c>
      <c r="E15">
        <v>2143.3000000000002</v>
      </c>
      <c r="F15" t="s">
        <v>7</v>
      </c>
      <c r="G15">
        <v>53.582999999999998</v>
      </c>
      <c r="H15">
        <v>26.094999999999999</v>
      </c>
      <c r="I15">
        <v>2.0499999999999998</v>
      </c>
      <c r="J15">
        <v>2.19</v>
      </c>
      <c r="K15" t="s">
        <v>68</v>
      </c>
      <c r="L15">
        <v>40</v>
      </c>
    </row>
    <row r="16" spans="1:12" ht="13" customHeight="1" x14ac:dyDescent="0.15">
      <c r="A16">
        <v>15</v>
      </c>
      <c r="B16" t="s">
        <v>21</v>
      </c>
      <c r="C16" t="s">
        <v>62</v>
      </c>
      <c r="D16" t="s">
        <v>79</v>
      </c>
      <c r="E16">
        <v>3899.2</v>
      </c>
      <c r="F16" t="s">
        <v>7</v>
      </c>
      <c r="G16">
        <v>97.478999999999999</v>
      </c>
      <c r="H16">
        <v>47.134</v>
      </c>
      <c r="I16">
        <v>2.0699999999999998</v>
      </c>
      <c r="J16">
        <v>2.19</v>
      </c>
      <c r="K16" t="s">
        <v>68</v>
      </c>
      <c r="L16">
        <v>40</v>
      </c>
    </row>
    <row r="17" spans="1:12" ht="13" customHeight="1" x14ac:dyDescent="0.15">
      <c r="A17">
        <v>16</v>
      </c>
      <c r="B17" t="s">
        <v>22</v>
      </c>
      <c r="C17" t="s">
        <v>62</v>
      </c>
      <c r="D17" t="s">
        <v>80</v>
      </c>
      <c r="E17">
        <v>1402.6</v>
      </c>
      <c r="F17" t="s">
        <v>7</v>
      </c>
      <c r="G17">
        <v>35.064</v>
      </c>
      <c r="H17">
        <v>17.045999999999999</v>
      </c>
      <c r="I17">
        <v>2.06</v>
      </c>
      <c r="J17">
        <v>2.2400000000000002</v>
      </c>
      <c r="K17" t="s">
        <v>68</v>
      </c>
      <c r="L17">
        <v>40</v>
      </c>
    </row>
    <row r="18" spans="1:12" ht="13" customHeight="1" x14ac:dyDescent="0.15">
      <c r="A18">
        <v>17</v>
      </c>
      <c r="B18" t="s">
        <v>23</v>
      </c>
      <c r="C18" t="s">
        <v>62</v>
      </c>
      <c r="D18" t="s">
        <v>81</v>
      </c>
      <c r="E18">
        <v>1163.7</v>
      </c>
      <c r="F18" t="s">
        <v>7</v>
      </c>
      <c r="G18">
        <v>29.093</v>
      </c>
      <c r="H18">
        <v>14.157999999999999</v>
      </c>
      <c r="I18">
        <v>2.0499999999999998</v>
      </c>
      <c r="J18">
        <v>2.2400000000000002</v>
      </c>
      <c r="K18" t="s">
        <v>68</v>
      </c>
      <c r="L18">
        <v>40</v>
      </c>
    </row>
    <row r="19" spans="1:12" ht="13" customHeight="1" x14ac:dyDescent="0.15">
      <c r="A19">
        <v>18</v>
      </c>
      <c r="B19" t="s">
        <v>24</v>
      </c>
      <c r="C19" t="s">
        <v>62</v>
      </c>
      <c r="D19" t="s">
        <v>82</v>
      </c>
      <c r="E19">
        <v>2735.9</v>
      </c>
      <c r="F19" t="s">
        <v>7</v>
      </c>
      <c r="G19">
        <v>68.397999999999996</v>
      </c>
      <c r="H19">
        <v>33.128</v>
      </c>
      <c r="I19">
        <v>2.06</v>
      </c>
      <c r="J19">
        <v>2.23</v>
      </c>
      <c r="K19" t="s">
        <v>68</v>
      </c>
      <c r="L19">
        <v>40</v>
      </c>
    </row>
    <row r="20" spans="1:12" ht="13" customHeight="1" x14ac:dyDescent="0.15">
      <c r="A20">
        <v>19</v>
      </c>
      <c r="B20" t="s">
        <v>25</v>
      </c>
      <c r="C20" t="s">
        <v>62</v>
      </c>
      <c r="D20" t="s">
        <v>83</v>
      </c>
      <c r="E20">
        <v>1020.2</v>
      </c>
      <c r="F20" t="s">
        <v>7</v>
      </c>
      <c r="G20">
        <v>25.506</v>
      </c>
      <c r="H20">
        <v>12.353</v>
      </c>
      <c r="I20">
        <v>2.06</v>
      </c>
      <c r="J20">
        <v>2.2400000000000002</v>
      </c>
      <c r="K20" t="s">
        <v>68</v>
      </c>
      <c r="L20">
        <v>40</v>
      </c>
    </row>
    <row r="21" spans="1:12" ht="13" customHeight="1" x14ac:dyDescent="0.15">
      <c r="A21">
        <v>20</v>
      </c>
      <c r="B21" t="s">
        <v>26</v>
      </c>
      <c r="C21" t="s">
        <v>62</v>
      </c>
      <c r="D21" t="s">
        <v>84</v>
      </c>
      <c r="E21">
        <v>1201.4000000000001</v>
      </c>
      <c r="F21" t="s">
        <v>7</v>
      </c>
      <c r="G21">
        <v>30.036000000000001</v>
      </c>
      <c r="H21">
        <v>14.606</v>
      </c>
      <c r="I21">
        <v>2.06</v>
      </c>
      <c r="J21">
        <v>2.25</v>
      </c>
      <c r="K21" t="s">
        <v>68</v>
      </c>
      <c r="L21">
        <v>40</v>
      </c>
    </row>
    <row r="22" spans="1:12" ht="13" customHeight="1" x14ac:dyDescent="0.15">
      <c r="A22">
        <v>21</v>
      </c>
      <c r="B22" t="s">
        <v>27</v>
      </c>
      <c r="C22" t="s">
        <v>62</v>
      </c>
      <c r="D22" t="s">
        <v>85</v>
      </c>
      <c r="E22">
        <v>843.4</v>
      </c>
      <c r="F22" t="s">
        <v>7</v>
      </c>
      <c r="G22">
        <v>21.085000000000001</v>
      </c>
      <c r="H22">
        <v>10.352</v>
      </c>
      <c r="I22">
        <v>2.04</v>
      </c>
      <c r="J22">
        <v>2.15</v>
      </c>
      <c r="K22" t="s">
        <v>68</v>
      </c>
      <c r="L22">
        <v>40</v>
      </c>
    </row>
    <row r="23" spans="1:12" ht="13" customHeight="1" x14ac:dyDescent="0.15">
      <c r="A23">
        <v>22</v>
      </c>
      <c r="B23" t="s">
        <v>28</v>
      </c>
      <c r="C23" t="s">
        <v>62</v>
      </c>
      <c r="D23" t="s">
        <v>86</v>
      </c>
      <c r="E23">
        <v>1871.3</v>
      </c>
      <c r="F23" t="s">
        <v>7</v>
      </c>
      <c r="G23">
        <v>46.783000000000001</v>
      </c>
      <c r="H23">
        <v>22.582000000000001</v>
      </c>
      <c r="I23">
        <v>2.0699999999999998</v>
      </c>
      <c r="J23">
        <v>2.19</v>
      </c>
      <c r="K23" t="s">
        <v>68</v>
      </c>
      <c r="L23">
        <v>40</v>
      </c>
    </row>
    <row r="24" spans="1:12" ht="13" customHeight="1" x14ac:dyDescent="0.15">
      <c r="A24">
        <v>23</v>
      </c>
      <c r="B24" t="s">
        <v>29</v>
      </c>
      <c r="C24" t="s">
        <v>62</v>
      </c>
      <c r="D24" t="s">
        <v>87</v>
      </c>
      <c r="E24">
        <v>1781.8</v>
      </c>
      <c r="F24" t="s">
        <v>7</v>
      </c>
      <c r="G24">
        <v>44.545000000000002</v>
      </c>
      <c r="H24">
        <v>21.494</v>
      </c>
      <c r="I24">
        <v>2.0699999999999998</v>
      </c>
      <c r="J24">
        <v>2.19</v>
      </c>
      <c r="K24" t="s">
        <v>68</v>
      </c>
      <c r="L24">
        <v>40</v>
      </c>
    </row>
    <row r="25" spans="1:12" ht="13" customHeight="1" x14ac:dyDescent="0.15">
      <c r="A25">
        <v>24</v>
      </c>
      <c r="B25" t="s">
        <v>30</v>
      </c>
      <c r="C25" t="s">
        <v>62</v>
      </c>
      <c r="D25" t="s">
        <v>88</v>
      </c>
      <c r="E25">
        <v>1148.4000000000001</v>
      </c>
      <c r="F25" t="s">
        <v>7</v>
      </c>
      <c r="G25">
        <v>28.71</v>
      </c>
      <c r="H25">
        <v>14.006</v>
      </c>
      <c r="I25">
        <v>2.0499999999999998</v>
      </c>
      <c r="J25">
        <v>2.16</v>
      </c>
      <c r="K25" t="s">
        <v>68</v>
      </c>
      <c r="L25">
        <v>40</v>
      </c>
    </row>
    <row r="26" spans="1:12" ht="13" customHeight="1" x14ac:dyDescent="0.15">
      <c r="A26">
        <v>25</v>
      </c>
      <c r="B26" t="s">
        <v>31</v>
      </c>
      <c r="C26" t="s">
        <v>62</v>
      </c>
      <c r="D26" t="s">
        <v>89</v>
      </c>
      <c r="E26">
        <v>371.5</v>
      </c>
      <c r="F26" t="s">
        <v>7</v>
      </c>
      <c r="G26">
        <v>9.2870000000000008</v>
      </c>
      <c r="H26">
        <v>4.4770000000000003</v>
      </c>
      <c r="I26">
        <v>2.0699999999999998</v>
      </c>
      <c r="J26">
        <v>0.52</v>
      </c>
      <c r="K26" t="s">
        <v>68</v>
      </c>
      <c r="L26">
        <v>40</v>
      </c>
    </row>
    <row r="27" spans="1:12" ht="13" customHeight="1" x14ac:dyDescent="0.15">
      <c r="A27">
        <v>26</v>
      </c>
      <c r="B27" t="s">
        <v>32</v>
      </c>
      <c r="C27" t="s">
        <v>62</v>
      </c>
      <c r="D27" t="s">
        <v>90</v>
      </c>
      <c r="E27">
        <v>519.70000000000005</v>
      </c>
      <c r="F27" t="s">
        <v>7</v>
      </c>
      <c r="G27">
        <v>12.992000000000001</v>
      </c>
      <c r="H27">
        <v>6.2380000000000004</v>
      </c>
      <c r="I27">
        <v>2.08</v>
      </c>
      <c r="J27">
        <v>1.1499999999999999</v>
      </c>
      <c r="K27" t="s">
        <v>68</v>
      </c>
      <c r="L27">
        <v>40</v>
      </c>
    </row>
    <row r="28" spans="1:12" ht="13" customHeight="1" x14ac:dyDescent="0.15">
      <c r="A28">
        <v>27</v>
      </c>
      <c r="B28" t="s">
        <v>32</v>
      </c>
      <c r="C28" t="s">
        <v>62</v>
      </c>
      <c r="D28" t="s">
        <v>91</v>
      </c>
      <c r="E28">
        <v>344.5</v>
      </c>
      <c r="F28" t="s">
        <v>7</v>
      </c>
      <c r="G28">
        <v>8.6120000000000001</v>
      </c>
      <c r="H28">
        <v>4.1719999999999997</v>
      </c>
      <c r="I28">
        <v>2.06</v>
      </c>
      <c r="J28">
        <v>1.43</v>
      </c>
      <c r="K28" t="s">
        <v>68</v>
      </c>
      <c r="L28">
        <v>40</v>
      </c>
    </row>
    <row r="29" spans="1:12" ht="13" customHeight="1" x14ac:dyDescent="0.15">
      <c r="A29">
        <v>28</v>
      </c>
      <c r="B29" t="s">
        <v>32</v>
      </c>
      <c r="C29" t="s">
        <v>62</v>
      </c>
      <c r="D29" t="s">
        <v>92</v>
      </c>
      <c r="E29">
        <v>114.7</v>
      </c>
      <c r="F29" t="s">
        <v>7</v>
      </c>
      <c r="G29">
        <v>2.8679999999999999</v>
      </c>
      <c r="H29">
        <v>1.4550000000000001</v>
      </c>
      <c r="I29">
        <v>1.97</v>
      </c>
      <c r="J29">
        <v>1.52</v>
      </c>
      <c r="K29" t="s">
        <v>68</v>
      </c>
      <c r="L29">
        <v>40</v>
      </c>
    </row>
    <row r="30" spans="1:12" ht="13" customHeight="1" x14ac:dyDescent="0.15">
      <c r="A30">
        <v>29</v>
      </c>
      <c r="B30" t="s">
        <v>33</v>
      </c>
      <c r="C30" t="s">
        <v>62</v>
      </c>
      <c r="D30" t="s">
        <v>93</v>
      </c>
      <c r="E30">
        <v>120.8</v>
      </c>
      <c r="F30" t="s">
        <v>7</v>
      </c>
      <c r="G30">
        <v>3.0190000000000001</v>
      </c>
      <c r="H30">
        <v>1.5649999999999999</v>
      </c>
      <c r="I30">
        <v>1.93</v>
      </c>
      <c r="J30">
        <v>1.73</v>
      </c>
      <c r="K30" t="s">
        <v>68</v>
      </c>
      <c r="L30">
        <v>40</v>
      </c>
    </row>
    <row r="31" spans="1:12" ht="13" customHeight="1" x14ac:dyDescent="0.15">
      <c r="A31">
        <v>30</v>
      </c>
      <c r="B31" t="s">
        <v>34</v>
      </c>
      <c r="C31" t="s">
        <v>62</v>
      </c>
      <c r="D31" t="s">
        <v>94</v>
      </c>
      <c r="E31">
        <v>301.60000000000002</v>
      </c>
      <c r="F31" t="s">
        <v>7</v>
      </c>
      <c r="G31">
        <v>7.5389999999999997</v>
      </c>
      <c r="H31">
        <v>3.7210000000000001</v>
      </c>
      <c r="I31">
        <v>2.0299999999999998</v>
      </c>
      <c r="J31">
        <v>1.76</v>
      </c>
      <c r="K31" t="s">
        <v>68</v>
      </c>
      <c r="L31">
        <v>40</v>
      </c>
    </row>
    <row r="32" spans="1:12" ht="13" customHeight="1" x14ac:dyDescent="0.15">
      <c r="A32">
        <v>31</v>
      </c>
      <c r="B32" t="s">
        <v>35</v>
      </c>
      <c r="C32" t="s">
        <v>62</v>
      </c>
      <c r="D32" t="s">
        <v>95</v>
      </c>
      <c r="E32">
        <v>56.2</v>
      </c>
      <c r="F32" t="s">
        <v>7</v>
      </c>
      <c r="G32">
        <v>1.405</v>
      </c>
      <c r="H32">
        <v>0.78500000000000003</v>
      </c>
      <c r="I32">
        <v>1.79</v>
      </c>
      <c r="J32">
        <v>1.76</v>
      </c>
      <c r="K32" t="s">
        <v>68</v>
      </c>
      <c r="L32">
        <v>40</v>
      </c>
    </row>
    <row r="33" spans="1:12" ht="13" customHeight="1" x14ac:dyDescent="0.15">
      <c r="A33">
        <v>32</v>
      </c>
      <c r="B33" t="s">
        <v>36</v>
      </c>
      <c r="C33" t="s">
        <v>62</v>
      </c>
      <c r="D33" t="s">
        <v>96</v>
      </c>
      <c r="E33">
        <v>169.8</v>
      </c>
      <c r="F33" t="s">
        <v>7</v>
      </c>
      <c r="G33">
        <v>4.2450000000000001</v>
      </c>
      <c r="H33">
        <v>2.355</v>
      </c>
      <c r="I33">
        <v>1.8</v>
      </c>
      <c r="J33">
        <v>1.08</v>
      </c>
      <c r="K33" t="s">
        <v>68</v>
      </c>
      <c r="L33">
        <v>40</v>
      </c>
    </row>
    <row r="34" spans="1:12" ht="13" customHeight="1" x14ac:dyDescent="0.15">
      <c r="A34">
        <v>33</v>
      </c>
      <c r="B34" t="s">
        <v>37</v>
      </c>
      <c r="C34" t="s">
        <v>62</v>
      </c>
      <c r="D34" t="s">
        <v>97</v>
      </c>
      <c r="E34">
        <v>29.5</v>
      </c>
      <c r="F34" t="s">
        <v>7</v>
      </c>
      <c r="G34">
        <v>0.73699999999999999</v>
      </c>
      <c r="H34">
        <v>0.442</v>
      </c>
      <c r="I34">
        <v>1.67</v>
      </c>
      <c r="J34">
        <v>0.57999999999999996</v>
      </c>
      <c r="K34" t="s">
        <v>68</v>
      </c>
      <c r="L34">
        <v>40</v>
      </c>
    </row>
    <row r="35" spans="1:12" ht="13" customHeight="1" x14ac:dyDescent="0.15">
      <c r="A35">
        <v>34</v>
      </c>
      <c r="B35" t="s">
        <v>38</v>
      </c>
      <c r="C35" t="s">
        <v>62</v>
      </c>
      <c r="D35" t="s">
        <v>98</v>
      </c>
      <c r="E35">
        <v>31.6</v>
      </c>
      <c r="F35" t="s">
        <v>7</v>
      </c>
      <c r="G35">
        <v>0.78900000000000003</v>
      </c>
      <c r="H35">
        <v>0.45800000000000002</v>
      </c>
      <c r="I35">
        <v>1.72</v>
      </c>
      <c r="J35">
        <v>1.1000000000000001</v>
      </c>
      <c r="K35" t="s">
        <v>68</v>
      </c>
      <c r="L35">
        <v>40</v>
      </c>
    </row>
    <row r="36" spans="1:12" ht="13" customHeight="1" x14ac:dyDescent="0.15">
      <c r="A36">
        <v>35</v>
      </c>
      <c r="B36" t="s">
        <v>39</v>
      </c>
      <c r="C36" t="s">
        <v>62</v>
      </c>
      <c r="D36" t="s">
        <v>99</v>
      </c>
      <c r="E36">
        <v>83.7</v>
      </c>
      <c r="F36" t="s">
        <v>7</v>
      </c>
      <c r="G36">
        <v>2.093</v>
      </c>
      <c r="H36">
        <v>1.137</v>
      </c>
      <c r="I36">
        <v>1.84</v>
      </c>
      <c r="J36">
        <v>1.71</v>
      </c>
      <c r="K36" t="s">
        <v>68</v>
      </c>
      <c r="L36">
        <v>40</v>
      </c>
    </row>
    <row r="37" spans="1:12" ht="13" customHeight="1" x14ac:dyDescent="0.15">
      <c r="A37">
        <v>36</v>
      </c>
      <c r="B37" t="s">
        <v>40</v>
      </c>
      <c r="C37" t="s">
        <v>62</v>
      </c>
      <c r="D37" t="s">
        <v>100</v>
      </c>
      <c r="E37">
        <v>54.5</v>
      </c>
      <c r="F37" t="s">
        <v>7</v>
      </c>
      <c r="G37">
        <v>1.3620000000000001</v>
      </c>
      <c r="H37">
        <v>0.754</v>
      </c>
      <c r="I37">
        <v>1.81</v>
      </c>
      <c r="J37">
        <v>1.96</v>
      </c>
      <c r="K37" t="s">
        <v>68</v>
      </c>
      <c r="L37">
        <v>40</v>
      </c>
    </row>
    <row r="38" spans="1:12" ht="13" customHeight="1" x14ac:dyDescent="0.15">
      <c r="A38">
        <v>37</v>
      </c>
      <c r="B38" t="s">
        <v>41</v>
      </c>
      <c r="C38" t="s">
        <v>62</v>
      </c>
      <c r="D38" t="s">
        <v>101</v>
      </c>
      <c r="E38">
        <v>54</v>
      </c>
      <c r="F38" t="s">
        <v>7</v>
      </c>
      <c r="G38">
        <v>1.35</v>
      </c>
      <c r="H38">
        <v>0.73</v>
      </c>
      <c r="I38">
        <v>1.85</v>
      </c>
      <c r="J38">
        <v>1.37</v>
      </c>
      <c r="K38" t="s">
        <v>68</v>
      </c>
      <c r="L38">
        <v>40</v>
      </c>
    </row>
    <row r="39" spans="1:12" ht="13" customHeight="1" x14ac:dyDescent="0.15">
      <c r="A39">
        <v>38</v>
      </c>
      <c r="B39" t="s">
        <v>42</v>
      </c>
      <c r="C39" t="s">
        <v>62</v>
      </c>
      <c r="D39" t="s">
        <v>102</v>
      </c>
      <c r="E39">
        <v>155.5</v>
      </c>
      <c r="F39" t="s">
        <v>7</v>
      </c>
      <c r="G39">
        <v>3.8879999999999999</v>
      </c>
      <c r="H39">
        <v>1.984</v>
      </c>
      <c r="I39">
        <v>1.96</v>
      </c>
      <c r="J39">
        <v>2.16</v>
      </c>
      <c r="K39" t="s">
        <v>68</v>
      </c>
      <c r="L39">
        <v>40</v>
      </c>
    </row>
    <row r="40" spans="1:12" ht="13" customHeight="1" x14ac:dyDescent="0.15">
      <c r="A40">
        <v>39</v>
      </c>
      <c r="B40" t="s">
        <v>43</v>
      </c>
      <c r="C40" t="s">
        <v>62</v>
      </c>
      <c r="D40" t="s">
        <v>103</v>
      </c>
      <c r="E40">
        <v>38.299999999999997</v>
      </c>
      <c r="F40" t="s">
        <v>7</v>
      </c>
      <c r="G40">
        <v>0.95599999999999996</v>
      </c>
      <c r="H40">
        <v>0.52800000000000002</v>
      </c>
      <c r="I40">
        <v>1.81</v>
      </c>
      <c r="J40">
        <v>0.89</v>
      </c>
      <c r="K40" t="s">
        <v>68</v>
      </c>
      <c r="L40">
        <v>40</v>
      </c>
    </row>
    <row r="41" spans="1:12" ht="13" customHeight="1" x14ac:dyDescent="0.15">
      <c r="A41">
        <v>40</v>
      </c>
      <c r="B41" t="s">
        <v>44</v>
      </c>
      <c r="C41" t="s">
        <v>62</v>
      </c>
      <c r="D41" t="s">
        <v>104</v>
      </c>
      <c r="E41">
        <v>79.7</v>
      </c>
      <c r="F41" t="s">
        <v>7</v>
      </c>
      <c r="G41">
        <v>1.992</v>
      </c>
      <c r="H41">
        <v>1.2170000000000001</v>
      </c>
      <c r="I41">
        <v>1.64</v>
      </c>
      <c r="J41">
        <v>0.9</v>
      </c>
      <c r="K41" t="s">
        <v>68</v>
      </c>
      <c r="L41">
        <v>40</v>
      </c>
    </row>
    <row r="42" spans="1:12" ht="13" customHeight="1" x14ac:dyDescent="0.15">
      <c r="A42">
        <v>41</v>
      </c>
      <c r="B42" t="s">
        <v>45</v>
      </c>
      <c r="C42" t="s">
        <v>62</v>
      </c>
      <c r="D42" t="s">
        <v>105</v>
      </c>
      <c r="E42">
        <v>69.2</v>
      </c>
      <c r="F42" t="s">
        <v>7</v>
      </c>
      <c r="G42">
        <v>1.7310000000000001</v>
      </c>
      <c r="H42">
        <v>0.90500000000000003</v>
      </c>
      <c r="I42">
        <v>1.91</v>
      </c>
      <c r="J42">
        <v>2.06</v>
      </c>
      <c r="K42" t="s">
        <v>68</v>
      </c>
      <c r="L42">
        <v>40</v>
      </c>
    </row>
    <row r="43" spans="1:12" ht="13" customHeight="1" x14ac:dyDescent="0.15">
      <c r="A43">
        <v>42</v>
      </c>
      <c r="B43" t="s">
        <v>46</v>
      </c>
      <c r="C43" t="s">
        <v>62</v>
      </c>
      <c r="D43" t="s">
        <v>106</v>
      </c>
      <c r="E43">
        <v>67.7</v>
      </c>
      <c r="F43" t="s">
        <v>7</v>
      </c>
      <c r="G43">
        <v>1.6919999999999999</v>
      </c>
      <c r="H43">
        <v>0.90400000000000003</v>
      </c>
      <c r="I43">
        <v>1.87</v>
      </c>
      <c r="J43">
        <v>1.59</v>
      </c>
      <c r="K43" t="s">
        <v>68</v>
      </c>
      <c r="L43">
        <v>40</v>
      </c>
    </row>
    <row r="44" spans="1:12" ht="13" customHeight="1" x14ac:dyDescent="0.15">
      <c r="A44">
        <v>43</v>
      </c>
      <c r="B44" t="s">
        <v>47</v>
      </c>
      <c r="C44" t="s">
        <v>62</v>
      </c>
      <c r="D44" t="s">
        <v>107</v>
      </c>
      <c r="E44">
        <v>97.2</v>
      </c>
      <c r="F44" t="s">
        <v>7</v>
      </c>
      <c r="G44">
        <v>2.4289999999999998</v>
      </c>
      <c r="H44">
        <v>1.2529999999999999</v>
      </c>
      <c r="I44">
        <v>1.94</v>
      </c>
      <c r="J44">
        <v>1.88</v>
      </c>
      <c r="K44" t="s">
        <v>68</v>
      </c>
      <c r="L44">
        <v>40</v>
      </c>
    </row>
    <row r="45" spans="1:12" ht="13" customHeight="1" x14ac:dyDescent="0.15">
      <c r="A45">
        <v>44</v>
      </c>
      <c r="B45" t="s">
        <v>48</v>
      </c>
      <c r="C45" t="s">
        <v>62</v>
      </c>
      <c r="D45" t="s">
        <v>108</v>
      </c>
      <c r="E45">
        <v>57.2</v>
      </c>
      <c r="F45" t="s">
        <v>7</v>
      </c>
      <c r="G45">
        <v>1.429</v>
      </c>
      <c r="H45">
        <v>0.79700000000000004</v>
      </c>
      <c r="I45">
        <v>1.79</v>
      </c>
      <c r="J45">
        <v>1.25</v>
      </c>
      <c r="K45" t="s">
        <v>68</v>
      </c>
      <c r="L45">
        <v>40</v>
      </c>
    </row>
    <row r="46" spans="1:12" ht="13" customHeight="1" x14ac:dyDescent="0.15">
      <c r="A46">
        <v>45</v>
      </c>
      <c r="B46" t="s">
        <v>49</v>
      </c>
      <c r="C46" t="s">
        <v>62</v>
      </c>
      <c r="D46" t="s">
        <v>109</v>
      </c>
      <c r="E46">
        <v>87.4</v>
      </c>
      <c r="F46" t="s">
        <v>7</v>
      </c>
      <c r="G46">
        <v>2.1859999999999999</v>
      </c>
      <c r="H46">
        <v>1.1890000000000001</v>
      </c>
      <c r="I46">
        <v>1.84</v>
      </c>
      <c r="J46">
        <v>1.1000000000000001</v>
      </c>
      <c r="K46" t="s">
        <v>68</v>
      </c>
      <c r="L46">
        <v>40</v>
      </c>
    </row>
    <row r="47" spans="1:12" ht="13" customHeight="1" x14ac:dyDescent="0.15">
      <c r="A47">
        <v>46</v>
      </c>
      <c r="B47" t="s">
        <v>50</v>
      </c>
      <c r="C47" t="s">
        <v>62</v>
      </c>
      <c r="D47" t="s">
        <v>110</v>
      </c>
      <c r="E47">
        <v>49.3</v>
      </c>
      <c r="F47" t="s">
        <v>7</v>
      </c>
      <c r="G47">
        <v>1.232</v>
      </c>
      <c r="H47">
        <v>0.70599999999999996</v>
      </c>
      <c r="I47">
        <v>1.74</v>
      </c>
      <c r="J47">
        <v>0.67</v>
      </c>
      <c r="K47" t="s">
        <v>68</v>
      </c>
      <c r="L47">
        <v>40</v>
      </c>
    </row>
    <row r="48" spans="1:12" ht="13" customHeight="1" x14ac:dyDescent="0.15">
      <c r="A48">
        <v>47</v>
      </c>
      <c r="B48" t="s">
        <v>51</v>
      </c>
      <c r="C48" t="s">
        <v>62</v>
      </c>
      <c r="D48" t="s">
        <v>111</v>
      </c>
      <c r="E48">
        <v>82.6</v>
      </c>
      <c r="F48" t="s">
        <v>7</v>
      </c>
      <c r="G48">
        <v>2.0649999999999999</v>
      </c>
      <c r="H48">
        <v>1.0669999999999999</v>
      </c>
      <c r="I48">
        <v>1.94</v>
      </c>
      <c r="J48">
        <v>0.31</v>
      </c>
      <c r="K48" t="s">
        <v>68</v>
      </c>
      <c r="L48">
        <v>40</v>
      </c>
    </row>
    <row r="49" spans="1:12" ht="13" customHeight="1" x14ac:dyDescent="0.15">
      <c r="A49">
        <v>48</v>
      </c>
      <c r="B49" t="s">
        <v>52</v>
      </c>
      <c r="C49" t="s">
        <v>62</v>
      </c>
      <c r="D49" t="s">
        <v>112</v>
      </c>
      <c r="E49">
        <v>76.2</v>
      </c>
      <c r="F49" t="s">
        <v>7</v>
      </c>
      <c r="G49">
        <v>1.905</v>
      </c>
      <c r="H49">
        <v>1.169</v>
      </c>
      <c r="I49">
        <v>1.63</v>
      </c>
      <c r="J49">
        <v>0.9</v>
      </c>
      <c r="K49" t="s">
        <v>68</v>
      </c>
      <c r="L49">
        <v>40</v>
      </c>
    </row>
  </sheetData>
  <pageMargins left="0.75" right="0.75" top="1" bottom="1" header="0.5" footer="0.5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E75530D231DC47B2031C92CD4640B3" ma:contentTypeVersion="13" ma:contentTypeDescription="Create a new document." ma:contentTypeScope="" ma:versionID="862e46be6b84976131677a4f6b884957">
  <xsd:schema xmlns:xsd="http://www.w3.org/2001/XMLSchema" xmlns:xs="http://www.w3.org/2001/XMLSchema" xmlns:p="http://schemas.microsoft.com/office/2006/metadata/properties" xmlns:ns2="4dde0a62-2eb1-4c3b-bb9a-f56ee0cf17d1" xmlns:ns3="ea4238ee-61f3-42a7-bd14-7b16b35775e9" targetNamespace="http://schemas.microsoft.com/office/2006/metadata/properties" ma:root="true" ma:fieldsID="69f6f39bea9a84b8cedacec4fad3eb1c" ns2:_="" ns3:_="">
    <xsd:import namespace="4dde0a62-2eb1-4c3b-bb9a-f56ee0cf17d1"/>
    <xsd:import namespace="ea4238ee-61f3-42a7-bd14-7b16b35775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e0a62-2eb1-4c3b-bb9a-f56ee0cf17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7736536-d5dc-44dc-96f3-ee4c473a6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238ee-61f3-42a7-bd14-7b16b35775e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bccad04-3a88-4f64-ac78-36df115fdb98}" ma:internalName="TaxCatchAll" ma:showField="CatchAllData" ma:web="ea4238ee-61f3-42a7-bd14-7b16b35775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de0a62-2eb1-4c3b-bb9a-f56ee0cf17d1">
      <Terms xmlns="http://schemas.microsoft.com/office/infopath/2007/PartnerControls"/>
    </lcf76f155ced4ddcb4097134ff3c332f>
    <TaxCatchAll xmlns="ea4238ee-61f3-42a7-bd14-7b16b35775e9" xsi:nil="true"/>
  </documentManagement>
</p:properties>
</file>

<file path=customXml/itemProps1.xml><?xml version="1.0" encoding="utf-8"?>
<ds:datastoreItem xmlns:ds="http://schemas.openxmlformats.org/officeDocument/2006/customXml" ds:itemID="{5C65120C-969B-4CDD-94EC-9270A1D30E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de0a62-2eb1-4c3b-bb9a-f56ee0cf17d1"/>
    <ds:schemaRef ds:uri="ea4238ee-61f3-42a7-bd14-7b16b35775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BFE0DE-8155-466E-A955-935DDEBF36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710A27-3897-4B39-BB42-0DD461B2116A}">
  <ds:schemaRefs>
    <ds:schemaRef ds:uri="http://schemas.microsoft.com/office/2006/metadata/properties"/>
    <ds:schemaRef ds:uri="http://schemas.microsoft.com/office/infopath/2007/PartnerControls"/>
    <ds:schemaRef ds:uri="4dde0a62-2eb1-4c3b-bb9a-f56ee0cf17d1"/>
    <ds:schemaRef ds:uri="ea4238ee-61f3-42a7-bd14-7b16b35775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RNA Yeilds and iScript cDNA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Ian Tamburini</cp:lastModifiedBy>
  <cp:revision/>
  <cp:lastPrinted>2025-06-24T23:46:59Z</cp:lastPrinted>
  <dcterms:created xsi:type="dcterms:W3CDTF">2024-02-16T22:43:30Z</dcterms:created>
  <dcterms:modified xsi:type="dcterms:W3CDTF">2025-06-25T00:34:26Z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0x01010098E75530D231DC47B2031C92CD4640B3</vt:lpwstr>
  </property>
  <property fmtid="{D5CDD505-2E9C-101B-9397-08002B2CF9AE}" pid="3" name="Order">
    <vt:r8>13851300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